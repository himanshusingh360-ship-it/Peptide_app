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ngh\"/>
    </mc:Choice>
  </mc:AlternateContent>
  <xr:revisionPtr revIDLastSave="0" documentId="13_ncr:1_{B742870A-EE2B-4242-BE0A-FA59B65AF42E}" xr6:coauthVersionLast="47" xr6:coauthVersionMax="47" xr10:uidLastSave="{00000000-0000-0000-0000-000000000000}"/>
  <bookViews>
    <workbookView xWindow="-108" yWindow="-108" windowWidth="23256" windowHeight="12576" xr2:uid="{398AF8B5-DDB6-4F2C-8F66-4645398567B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B3" i="1"/>
  <c r="I2" i="1"/>
  <c r="E2" i="1"/>
  <c r="B2" i="1"/>
  <c r="L2" i="1"/>
  <c r="H2" i="1"/>
  <c r="D2" i="1"/>
  <c r="G2" i="1"/>
  <c r="K2" i="1"/>
  <c r="J2" i="1"/>
  <c r="F2" i="1"/>
  <c r="C3" i="1"/>
  <c r="H3" i="1"/>
  <c r="L3" i="1"/>
  <c r="I3" i="1"/>
  <c r="J3" i="1"/>
  <c r="K3" i="1"/>
  <c r="D3" i="1"/>
  <c r="E3" i="1"/>
  <c r="F3" i="1"/>
  <c r="G3" i="1"/>
</calcChain>
</file>

<file path=xl/sharedStrings.xml><?xml version="1.0" encoding="utf-8"?>
<sst xmlns="http://schemas.openxmlformats.org/spreadsheetml/2006/main" count="14" uniqueCount="14">
  <si>
    <t>Sequence</t>
  </si>
  <si>
    <t>MW</t>
  </si>
  <si>
    <t>Netcharge</t>
  </si>
  <si>
    <t>Hydrophocity</t>
  </si>
  <si>
    <t>ASFFGYSDGKLPRGG</t>
  </si>
  <si>
    <t>Deletion mas</t>
  </si>
  <si>
    <t>Diff acore</t>
  </si>
  <si>
    <t>Diff coup</t>
  </si>
  <si>
    <t>Pseudoproline</t>
  </si>
  <si>
    <t>Oxidation risk</t>
  </si>
  <si>
    <t>Aspardimide</t>
  </si>
  <si>
    <t>Aggregation</t>
  </si>
  <si>
    <t>ASFFGYSDGKLPRFF</t>
  </si>
  <si>
    <t>Secondary 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</si>
</sst>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BCDC-8BBD-4425-98BE-6A610526691E}">
  <sheetPr codeName="Sheet1"/>
  <dimension ref="A1:L3"/>
  <sheetViews>
    <sheetView tabSelected="1" topLeftCell="B1" workbookViewId="0">
      <selection activeCell="C4" sqref="C4"/>
    </sheetView>
  </sheetViews>
  <sheetFormatPr defaultRowHeight="14.4" x14ac:dyDescent="0.3"/>
  <cols>
    <col min="1" max="1" width="19.21875" customWidth="1"/>
    <col min="2" max="2" width="12.77734375" customWidth="1"/>
    <col min="3" max="3" width="24.109375" customWidth="1"/>
    <col min="4" max="4" width="21.6640625" customWidth="1"/>
    <col min="6" max="6" width="16" customWidth="1"/>
    <col min="7" max="7" width="25.6640625" customWidth="1"/>
    <col min="9" max="9" width="18.33203125" customWidth="1"/>
    <col min="11" max="11" width="14.109375" customWidth="1"/>
  </cols>
  <sheetData>
    <row r="1" spans="1:12" x14ac:dyDescent="0.3">
      <c r="A1" t="s">
        <v>0</v>
      </c>
      <c r="B1" t="s">
        <v>1</v>
      </c>
      <c r="C1" t="s">
        <v>13</v>
      </c>
      <c r="D1" t="s">
        <v>3</v>
      </c>
      <c r="E1" t="s">
        <v>2</v>
      </c>
      <c r="F1" t="s">
        <v>11</v>
      </c>
      <c r="G1" t="s">
        <v>10</v>
      </c>
      <c r="H1" t="s">
        <v>9</v>
      </c>
      <c r="I1" t="s">
        <v>8</v>
      </c>
      <c r="J1" t="s">
        <v>7</v>
      </c>
      <c r="K1" t="s">
        <v>6</v>
      </c>
      <c r="L1" t="s">
        <v>5</v>
      </c>
    </row>
    <row r="2" spans="1:12" x14ac:dyDescent="0.3">
      <c r="A2" t="s">
        <v>4</v>
      </c>
      <c r="B2">
        <f>PepMW(A2)</f>
        <v>1558.72</v>
      </c>
      <c r="C2" t="str">
        <f>StructurePercent(A2)</f>
        <v>Alpha: 30.1% | Beta: 30.2% | Coil: 39.7%</v>
      </c>
      <c r="D2">
        <f>Hydrophobicity(A2)</f>
        <v>-0.45</v>
      </c>
      <c r="E2">
        <f>NetCharge(A2)</f>
        <v>1</v>
      </c>
      <c r="F2" t="str">
        <f>AggregationScore(A2)</f>
        <v>LOW</v>
      </c>
      <c r="G2" t="str">
        <f>AspartimideRisk(A2)</f>
        <v>YES - ASPARTIMIDE RISK</v>
      </c>
      <c r="H2" t="str">
        <f>OxidationRisk(A2)</f>
        <v>LOW</v>
      </c>
      <c r="I2" t="str">
        <f>PseudoProline(A2)</f>
        <v>NOT REQUIRED</v>
      </c>
      <c r="J2" t="str">
        <f>DifficultCoupling(A2)</f>
        <v>HIGH RISK</v>
      </c>
      <c r="K2" t="str">
        <f>DifficultyScore(A2)</f>
        <v>MODERATE</v>
      </c>
      <c r="L2" t="str">
        <f>DeletionMass(A2)</f>
        <v xml:space="preserve">A-71.08; S-87.08; F-147.18; F-147.18; G-57.05; Y-163.18; S-87.08; D-115.09; G-57.05; K-128.17; L-113.16; P-97.12; R-156.19; G-57.05; G-57.05; </v>
      </c>
    </row>
    <row r="3" spans="1:12" x14ac:dyDescent="0.3">
      <c r="A3" t="s">
        <v>12</v>
      </c>
      <c r="B3">
        <f>PepMW(A3)</f>
        <v>1738.99</v>
      </c>
      <c r="C3" t="str">
        <f>StructurePercent(A3)</f>
        <v>Alpha: 32.6% | Beta: 32.6% | Coil: 34.8%</v>
      </c>
      <c r="D3">
        <f>Hydrophobicity(A3)</f>
        <v>-0.03</v>
      </c>
      <c r="E3">
        <f>NetCharge(A3)</f>
        <v>1</v>
      </c>
      <c r="F3" t="str">
        <f>AggregationScore(A3)</f>
        <v>MEDIUM</v>
      </c>
      <c r="G3" t="str">
        <f>AspartimideRisk(A3)</f>
        <v>YES - ASPARTIMIDE RISK</v>
      </c>
      <c r="H3" t="str">
        <f>OxidationRisk(A3)</f>
        <v>LOW</v>
      </c>
      <c r="I3" t="str">
        <f>PseudoProline(A3)</f>
        <v>NOT REQUIRED</v>
      </c>
      <c r="J3" t="str">
        <f>DifficultCoupling(A3)</f>
        <v>HIGH RISK</v>
      </c>
      <c r="K3" t="str">
        <f>DifficultyScore(A3)</f>
        <v>MODERATE</v>
      </c>
      <c r="L3" t="str">
        <f>DeletionMass(A3)</f>
        <v xml:space="preserve">A-71.08; S-87.08; F-147.18; F-147.18; G-57.05; Y-163.18; S-87.08; D-115.09; G-57.05; K-128.17; L-113.16; P-97.12; R-156.19; F-147.18; F-147.18;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Himanshu singh</dc:creator>
  <cp:lastModifiedBy>Himanshu singh</cp:lastModifiedBy>
  <dcterms:created xsi:type="dcterms:W3CDTF">2026-05-16T08:09:15Z</dcterms:created>
  <dcterms:modified xsi:type="dcterms:W3CDTF">2026-05-19T15:53:33Z</dcterms:modified>
</cp:coreProperties>
</file>